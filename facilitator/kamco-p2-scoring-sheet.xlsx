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s" sheetId="1" state="visible" r:id="rId3"/>
    <sheet name="Rubric" sheetId="2" state="visible" r:id="rId4"/>
    <sheet name="Reference answ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<sst xmlns="http://schemas.openxmlformats.org/spreadsheetml/2006/main" count="84" uniqueCount="84">
  <si>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KAMCO Invest · AI at Work with Microsoft Copilot · Scoring sheet</t>
  </si>
  <si>
    <t xml:space="preserve">Blue cells = enter values. Black cells = formulas. Seats for Program 3 →</t>
  </si>
  <si>
    <t xml:space="preserve">Pass mark →</t>
  </si>
  <si>
    <t xml:space="preserve">#</t>
  </si>
  <si>
    <t xml:space="preserve">Trainee name</t>
  </si>
  <si>
    <t xml:space="preserve">Department</t>
  </si>
  <si>
    <t xml:space="preserve">Version (A/B)</t>
  </si>
  <si>
    <t xml:space="preserve">MAP pre (%)</t>
  </si>
  <si>
    <t xml:space="preserve">MAP post (%)</t>
  </si>
  <si>
    <t xml:space="preserve">MAP gain (pts)</t>
  </si>
  <si>
    <t xml:space="preserve">Workflow (30)</t>
  </si>
  <si>
    <t xml:space="preserve">Accuracy (25)</t>
  </si>
  <si>
    <t xml:space="preserve">Deliverable (20)</t>
  </si>
  <si>
    <t xml:space="preserve">AI review (15)</t>
  </si>
  <si>
    <t xml:space="preserve">Prompts (10)</t>
  </si>
  <si>
    <t xml:space="preserve">Project total (100)</t>
  </si>
  <si>
    <t xml:space="preserve">Rank</t>
  </si>
  <si>
    <t xml:space="preserve">Recommendation</t>
  </si>
  <si>
    <t xml:space="preserve">Day 1 observation notes</t>
  </si>
  <si>
    <t xml:space="preserve">Reply time</t>
  </si>
  <si>
    <t xml:space="preserve">Example Trainee (delete)</t>
  </si>
  <si>
    <t xml:space="preserve">Wealth Management</t>
  </si>
  <si>
    <t xml:space="preserve">A</t>
  </si>
  <si>
    <t xml:space="preserve">Cleaned before counting; caught the other-family request.</t>
  </si>
  <si>
    <t xml:space="preserve">Summary</t>
  </si>
  <si>
    <t xml:space="preserve">Trainees scored</t>
  </si>
  <si>
    <t xml:space="preserve">Average project score</t>
  </si>
  <si>
    <t xml:space="preserve">Average MAP gain (pts)</t>
  </si>
  <si>
    <t xml:space="preserve">Recommended for Program 3</t>
  </si>
  <si>
    <t xml:space="preserve">Criterion</t>
  </si>
  <si>
    <t xml:space="preserve">Points</t>
  </si>
  <si>
    <t xml:space="preserve">Full marks</t>
  </si>
  <si>
    <t xml:space="preserve">Half marks</t>
  </si>
  <si>
    <t xml:space="preserve">Zero</t>
  </si>
  <si>
    <t xml:space="preserve">Workflow complete</t>
  </si>
  <si>
    <t xml:space="preserve">All four steps; reply with file attached by 2:50 pm</t>
  </si>
  <si>
    <t xml:space="preserve">A step missing or reply late</t>
  </si>
  <si>
    <t xml:space="preserve">No reply</t>
  </si>
  <si>
    <t xml:space="preserve">Accurate numbers</t>
  </si>
  <si>
    <t xml:space="preserve">Value, Q3 change, allocation, breaches and issuer check match the reference</t>
  </si>
  <si>
    <t xml:space="preserve">One or two errors</t>
  </si>
  <si>
    <t xml:space="preserve">Duplicates kept / major errors</t>
  </si>
  <si>
    <t xml:space="preserve">Deliverable quality</t>
  </si>
  <si>
    <t xml:space="preserve">A: one page, answer first. B: 5 slides, message titles, disclaimer</t>
  </si>
  <si>
    <t xml:space="preserve">Right format, weak structure</t>
  </si>
  <si>
    <t xml:space="preserve">Wrong format</t>
  </si>
  <si>
    <t xml:space="preserve">AI review &amp; judgement</t>
  </si>
  <si>
    <t xml:space="preserve">'What I corrected' shows a real correction</t>
  </si>
  <si>
    <t xml:space="preserve">Generic note</t>
  </si>
  <si>
    <t xml:space="preserve">No review shown</t>
  </si>
  <si>
    <t xml:space="preserve">Prompt quality</t>
  </si>
  <si>
    <t xml:space="preserve">Specific, sourced, CTFT prompts</t>
  </si>
  <si>
    <t xml:space="preserve">Some structure</t>
  </si>
  <si>
    <t xml:space="preserve">Generic prompts</t>
  </si>
  <si>
    <t xml:space="preserve">Measure</t>
  </si>
  <si>
    <t xml:space="preserve">Version A · Al-Bayan Holding</t>
  </si>
  <si>
    <t xml:space="preserve">Version B · Dar Al-Sanad Trust</t>
  </si>
  <si>
    <t xml:space="preserve">Raw rows</t>
  </si>
  <si>
    <t xml:space="preserve">Duplicates</t>
  </si>
  <si>
    <t xml:space="preserve">Holdings after cleaning</t>
  </si>
  <si>
    <t xml:space="preserve">Missing prices</t>
  </si>
  <si>
    <t xml:space="preserve">MRDE, SPF</t>
  </si>
  <si>
    <t xml:space="preserve">ATLS, GCBF</t>
  </si>
  <si>
    <t xml:space="preserve">Value 30 Sep (KWD)</t>
  </si>
  <si>
    <t xml:space="preserve">Value if duplicates kept (KWD) — common error</t>
  </si>
  <si>
    <t xml:space="preserve">Q3 change (KWD)</t>
  </si>
  <si>
    <t xml:space="preserve">Q3 change (%)</t>
  </si>
  <si>
    <t xml:space="preserve">Equity weight</t>
  </si>
  <si>
    <t xml:space="preserve">Fixed income weight</t>
  </si>
  <si>
    <t xml:space="preserve">Real estate weight</t>
  </si>
  <si>
    <t xml:space="preserve">Cash weight</t>
  </si>
  <si>
    <t xml:space="preserve">Mandate breach</t>
  </si>
  <si>
    <t xml:space="preserve">Real Estate</t>
  </si>
  <si>
    <t xml:space="preserve">Cash</t>
  </si>
  <si>
    <t xml:space="preserve">Top 3 issuers</t>
  </si>
  <si>
    <t xml:space="preserve">Gulf Horizon REIT 11.11%; Salmiya Property Fund 8.26%; Al-Noor Bank 7.82%</t>
  </si>
  <si>
    <t xml:space="preserve">Atlas Tech Corp 7.55%; World Equity Tracker 7.45%; Gulf Sovereign 6.36%</t>
  </si>
  <si>
    <t xml:space="preserve">Issuer breach (&gt;10%)</t>
  </si>
  <si>
    <t xml:space="preserve">Gulf Horizon REIT</t>
  </si>
  <si>
    <t xml:space="preserve">None</t>
  </si>
  <si>
    <t xml:space="preserve">Top 3 contributors</t>
  </si>
  <si>
    <t xml:space="preserve">Atlas Tech Corp, Al-Noor Bank, Harbor Semiconductors</t>
  </si>
  <si>
    <t xml:space="preserve">Atlas Tech Corp, Harbor Semiconductors, Al-Noor Bank</t>
  </si>
  <si>
    <t xml:space="preserve">Source: generated training data (fictional). USD→KWD 0.3065; mandate ranges on each file's Mandate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</si>
</sst>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7" min="4" style="0" width="10"/>
    <col collapsed="false" customWidth="true" hidden="false" outlineLevel="0" max="12" min="8" style="0" width="11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24"/>
    <col collapsed="false" customWidth="true" hidden="false" outlineLevel="0" max="16" min="16" style="0" width="44"/>
    <col collapsed="false" customWidth="true" hidden="false" outlineLevel="0" max="17" min="17" style="0" width="11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4" t="n">
        <v>30</v>
      </c>
      <c r="K2" s="3" t="s">
        <v>2</v>
      </c>
      <c r="L2" s="4" t="n">
        <v>60</v>
      </c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customFormat="false" ht="15" hidden="false" customHeight="false" outlineLevel="0" collapsed="false">
      <c r="A5" s="6" t="n">
        <v>1</v>
      </c>
      <c r="B5" s="7" t="s">
        <v>20</v>
      </c>
      <c r="C5" s="7" t="s">
        <v>21</v>
      </c>
      <c r="D5" s="7" t="s">
        <v>22</v>
      </c>
      <c r="E5" s="7" t="n">
        <v>55</v>
      </c>
      <c r="F5" s="7" t="n">
        <v>80</v>
      </c>
      <c r="G5" s="6" t="n">
        <f aca="false">IF(AND(ISNUMBER(E5),ISNUMBER(F5)),F5-E5,"")</f>
        <v>25</v>
      </c>
      <c r="H5" s="7" t="n">
        <v>26</v>
      </c>
      <c r="I5" s="7" t="n">
        <v>20</v>
      </c>
      <c r="J5" s="7" t="n">
        <v>16</v>
      </c>
      <c r="K5" s="7" t="n">
        <v>12</v>
      </c>
      <c r="L5" s="7" t="n">
        <v>8</v>
      </c>
      <c r="M5" s="8" t="n">
        <f aca="false">IF(COUNT(H5:L5)=0,"",SUM(H5:L5))</f>
        <v>82</v>
      </c>
      <c r="N5" s="6" t="n">
        <f aca="false">IF(M5="","",COUNTIF($M$5:$M$39,"&gt;"&amp;M5)+COUNTIFS($M$5:$M$39,M5,$F$5:$F$39,"&gt;"&amp;N(F5))+1)</f>
        <v>1</v>
      </c>
      <c r="O5" s="6" t="str">
        <f aca="false">IF(M5="","",IF(AND(M5&gt;=$L$2,N5&lt;=$J$2),"Recommend",IF(M5&gt;=$L$2,"Passed - over seat limit","Review / retake")))</f>
        <v>Recommend</v>
      </c>
      <c r="P5" s="7" t="s">
        <v>23</v>
      </c>
      <c r="Q5" s="7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6" t="str">
        <f aca="false">IF(AND(ISNUMBER(E6),ISNUMBER(F6)),F6-E6,"")</f>
        <v/>
      </c>
      <c r="H6" s="7"/>
      <c r="I6" s="7"/>
      <c r="J6" s="7"/>
      <c r="K6" s="7"/>
      <c r="L6" s="7"/>
      <c r="M6" s="8" t="str">
        <f aca="false">IF(COUNT(H6:L6)=0,"",SUM(H6:L6))</f>
        <v/>
      </c>
      <c r="N6" s="6" t="str">
        <f aca="false">IF(M6="","",COUNTIF($M$5:$M$39,"&gt;"&amp;M6)+COUNTIFS($M$5:$M$39,M6,$F$5:$F$39,"&gt;"&amp;N(F6))+1)</f>
        <v/>
      </c>
      <c r="O6" s="6" t="str">
        <f aca="false">IF(M6="","",IF(AND(M6&gt;=$L$2,N6&lt;=$J$2),"Recommend",IF(M6&gt;=$L$2,"Passed - over seat limit","Review / retake")))</f>
        <v/>
      </c>
      <c r="P6" s="7"/>
      <c r="Q6" s="7"/>
    </row>
    <row r="7" customFormat="false" ht="15" hidden="false" customHeight="false" outlineLevel="0" collapsed="false">
      <c r="A7" s="6" t="n">
        <v>3</v>
      </c>
      <c r="B7" s="7"/>
      <c r="C7" s="7"/>
      <c r="D7" s="7"/>
      <c r="E7" s="7"/>
      <c r="F7" s="7"/>
      <c r="G7" s="6" t="str">
        <f aca="false">IF(AND(ISNUMBER(E7),ISNUMBER(F7)),F7-E7,"")</f>
        <v/>
      </c>
      <c r="H7" s="7"/>
      <c r="I7" s="7"/>
      <c r="J7" s="7"/>
      <c r="K7" s="7"/>
      <c r="L7" s="7"/>
      <c r="M7" s="8" t="str">
        <f aca="false">IF(COUNT(H7:L7)=0,"",SUM(H7:L7))</f>
        <v/>
      </c>
      <c r="N7" s="6" t="str">
        <f aca="false">IF(M7="","",COUNTIF($M$5:$M$39,"&gt;"&amp;M7)+COUNTIFS($M$5:$M$39,M7,$F$5:$F$39,"&gt;"&amp;N(F7))+1)</f>
        <v/>
      </c>
      <c r="O7" s="6" t="str">
        <f aca="false">IF(M7="","",IF(AND(M7&gt;=$L$2,N7&lt;=$J$2),"Recommend",IF(M7&gt;=$L$2,"Passed - over seat limit","Review / retake")))</f>
        <v/>
      </c>
      <c r="P7" s="7"/>
      <c r="Q7" s="7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6" t="str">
        <f aca="false">IF(AND(ISNUMBER(E8),ISNUMBER(F8)),F8-E8,"")</f>
        <v/>
      </c>
      <c r="H8" s="7"/>
      <c r="I8" s="7"/>
      <c r="J8" s="7"/>
      <c r="K8" s="7"/>
      <c r="L8" s="7"/>
      <c r="M8" s="8" t="str">
        <f aca="false">IF(COUNT(H8:L8)=0,"",SUM(H8:L8))</f>
        <v/>
      </c>
      <c r="N8" s="6" t="str">
        <f aca="false">IF(M8="","",COUNTIF($M$5:$M$39,"&gt;"&amp;M8)+COUNTIFS($M$5:$M$39,M8,$F$5:$F$39,"&gt;"&amp;N(F8))+1)</f>
        <v/>
      </c>
      <c r="O8" s="6" t="str">
        <f aca="false">IF(M8="","",IF(AND(M8&gt;=$L$2,N8&lt;=$J$2),"Recommend",IF(M8&gt;=$L$2,"Passed - over seat limit","Review / retake")))</f>
        <v/>
      </c>
      <c r="P8" s="7"/>
      <c r="Q8" s="7"/>
    </row>
    <row r="9" customFormat="false" ht="15" hidden="false" customHeight="false" outlineLevel="0" collapsed="false">
      <c r="A9" s="6" t="n">
        <v>5</v>
      </c>
      <c r="B9" s="7"/>
      <c r="C9" s="7"/>
      <c r="D9" s="7"/>
      <c r="E9" s="7"/>
      <c r="F9" s="7"/>
      <c r="G9" s="6" t="str">
        <f aca="false">IF(AND(ISNUMBER(E9),ISNUMBER(F9)),F9-E9,"")</f>
        <v/>
      </c>
      <c r="H9" s="7"/>
      <c r="I9" s="7"/>
      <c r="J9" s="7"/>
      <c r="K9" s="7"/>
      <c r="L9" s="7"/>
      <c r="M9" s="8" t="str">
        <f aca="false">IF(COUNT(H9:L9)=0,"",SUM(H9:L9))</f>
        <v/>
      </c>
      <c r="N9" s="6" t="str">
        <f aca="false">IF(M9="","",COUNTIF($M$5:$M$39,"&gt;"&amp;M9)+COUNTIFS($M$5:$M$39,M9,$F$5:$F$39,"&gt;"&amp;N(F9))+1)</f>
        <v/>
      </c>
      <c r="O9" s="6" t="str">
        <f aca="false">IF(M9="","",IF(AND(M9&gt;=$L$2,N9&lt;=$J$2),"Recommend",IF(M9&gt;=$L$2,"Passed - over seat limit","Review / retake")))</f>
        <v/>
      </c>
      <c r="P9" s="7"/>
      <c r="Q9" s="7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6" t="str">
        <f aca="false">IF(AND(ISNUMBER(E10),ISNUMBER(F10)),F10-E10,"")</f>
        <v/>
      </c>
      <c r="H10" s="7"/>
      <c r="I10" s="7"/>
      <c r="J10" s="7"/>
      <c r="K10" s="7"/>
      <c r="L10" s="7"/>
      <c r="M10" s="8" t="str">
        <f aca="false">IF(COUNT(H10:L10)=0,"",SUM(H10:L10))</f>
        <v/>
      </c>
      <c r="N10" s="6" t="str">
        <f aca="false">IF(M10="","",COUNTIF($M$5:$M$39,"&gt;"&amp;M10)+COUNTIFS($M$5:$M$39,M10,$F$5:$F$39,"&gt;"&amp;N(F10))+1)</f>
        <v/>
      </c>
      <c r="O10" s="6" t="str">
        <f aca="false">IF(M10="","",IF(AND(M10&gt;=$L$2,N10&lt;=$J$2),"Recommend",IF(M10&gt;=$L$2,"Passed - over seat limit","Review / retake")))</f>
        <v/>
      </c>
      <c r="P10" s="7"/>
      <c r="Q10" s="7"/>
    </row>
    <row r="11" customFormat="false" ht="15" hidden="false" customHeight="false" outlineLevel="0" collapsed="false">
      <c r="A11" s="6" t="n">
        <v>7</v>
      </c>
      <c r="B11" s="7"/>
      <c r="C11" s="7"/>
      <c r="D11" s="7"/>
      <c r="E11" s="7"/>
      <c r="F11" s="7"/>
      <c r="G11" s="6" t="str">
        <f aca="false">IF(AND(ISNUMBER(E11),ISNUMBER(F11)),F11-E11,"")</f>
        <v/>
      </c>
      <c r="H11" s="7"/>
      <c r="I11" s="7"/>
      <c r="J11" s="7"/>
      <c r="K11" s="7"/>
      <c r="L11" s="7"/>
      <c r="M11" s="8" t="str">
        <f aca="false">IF(COUNT(H11:L11)=0,"",SUM(H11:L11))</f>
        <v/>
      </c>
      <c r="N11" s="6" t="str">
        <f aca="false">IF(M11="","",COUNTIF($M$5:$M$39,"&gt;"&amp;M11)+COUNTIFS($M$5:$M$39,M11,$F$5:$F$39,"&gt;"&amp;N(F11))+1)</f>
        <v/>
      </c>
      <c r="O11" s="6" t="str">
        <f aca="false">IF(M11="","",IF(AND(M11&gt;=$L$2,N11&lt;=$J$2),"Recommend",IF(M11&gt;=$L$2,"Passed - over seat limit","Review / retake")))</f>
        <v/>
      </c>
      <c r="P11" s="7"/>
      <c r="Q11" s="7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6" t="str">
        <f aca="false">IF(AND(ISNUMBER(E12),ISNUMBER(F12)),F12-E12,"")</f>
        <v/>
      </c>
      <c r="H12" s="7"/>
      <c r="I12" s="7"/>
      <c r="J12" s="7"/>
      <c r="K12" s="7"/>
      <c r="L12" s="7"/>
      <c r="M12" s="8" t="str">
        <f aca="false">IF(COUNT(H12:L12)=0,"",SUM(H12:L12))</f>
        <v/>
      </c>
      <c r="N12" s="6" t="str">
        <f aca="false">IF(M12="","",COUNTIF($M$5:$M$39,"&gt;"&amp;M12)+COUNTIFS($M$5:$M$39,M12,$F$5:$F$39,"&gt;"&amp;N(F12))+1)</f>
        <v/>
      </c>
      <c r="O12" s="6" t="str">
        <f aca="false">IF(M12="","",IF(AND(M12&gt;=$L$2,N12&lt;=$J$2),"Recommend",IF(M12&gt;=$L$2,"Passed - over seat limit","Review / retake")))</f>
        <v/>
      </c>
      <c r="P12" s="7"/>
      <c r="Q12" s="7"/>
    </row>
    <row r="13" customFormat="false" ht="15" hidden="false" customHeight="false" outlineLevel="0" collapsed="false">
      <c r="A13" s="6" t="n">
        <v>9</v>
      </c>
      <c r="B13" s="7"/>
      <c r="C13" s="7"/>
      <c r="D13" s="7"/>
      <c r="E13" s="7"/>
      <c r="F13" s="7"/>
      <c r="G13" s="6" t="str">
        <f aca="false">IF(AND(ISNUMBER(E13),ISNUMBER(F13)),F13-E13,"")</f>
        <v/>
      </c>
      <c r="H13" s="7"/>
      <c r="I13" s="7"/>
      <c r="J13" s="7"/>
      <c r="K13" s="7"/>
      <c r="L13" s="7"/>
      <c r="M13" s="8" t="str">
        <f aca="false">IF(COUNT(H13:L13)=0,"",SUM(H13:L13))</f>
        <v/>
      </c>
      <c r="N13" s="6" t="str">
        <f aca="false">IF(M13="","",COUNTIF($M$5:$M$39,"&gt;"&amp;M13)+COUNTIFS($M$5:$M$39,M13,$F$5:$F$39,"&gt;"&amp;N(F13))+1)</f>
        <v/>
      </c>
      <c r="O13" s="6" t="str">
        <f aca="false">IF(M13="","",IF(AND(M13&gt;=$L$2,N13&lt;=$J$2),"Recommend",IF(M13&gt;=$L$2,"Passed - over seat limit","Review / retake")))</f>
        <v/>
      </c>
      <c r="P13" s="7"/>
      <c r="Q13" s="7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6" t="str">
        <f aca="false">IF(AND(ISNUMBER(E14),ISNUMBER(F14)),F14-E14,"")</f>
        <v/>
      </c>
      <c r="H14" s="7"/>
      <c r="I14" s="7"/>
      <c r="J14" s="7"/>
      <c r="K14" s="7"/>
      <c r="L14" s="7"/>
      <c r="M14" s="8" t="str">
        <f aca="false">IF(COUNT(H14:L14)=0,"",SUM(H14:L14))</f>
        <v/>
      </c>
      <c r="N14" s="6" t="str">
        <f aca="false">IF(M14="","",COUNTIF($M$5:$M$39,"&gt;"&amp;M14)+COUNTIFS($M$5:$M$39,M14,$F$5:$F$39,"&gt;"&amp;N(F14))+1)</f>
        <v/>
      </c>
      <c r="O14" s="6" t="str">
        <f aca="false">IF(M14="","",IF(AND(M14&gt;=$L$2,N14&lt;=$J$2),"Recommend",IF(M14&gt;=$L$2,"Passed - over seat limit","Review / retake")))</f>
        <v/>
      </c>
      <c r="P14" s="7"/>
      <c r="Q14" s="7"/>
    </row>
    <row r="15" customFormat="false" ht="15" hidden="false" customHeight="false" outlineLevel="0" collapsed="false">
      <c r="A15" s="6" t="n">
        <v>11</v>
      </c>
      <c r="B15" s="7"/>
      <c r="C15" s="7"/>
      <c r="D15" s="7"/>
      <c r="E15" s="7"/>
      <c r="F15" s="7"/>
      <c r="G15" s="6" t="str">
        <f aca="false">IF(AND(ISNUMBER(E15),ISNUMBER(F15)),F15-E15,"")</f>
        <v/>
      </c>
      <c r="H15" s="7"/>
      <c r="I15" s="7"/>
      <c r="J15" s="7"/>
      <c r="K15" s="7"/>
      <c r="L15" s="7"/>
      <c r="M15" s="8" t="str">
        <f aca="false">IF(COUNT(H15:L15)=0,"",SUM(H15:L15))</f>
        <v/>
      </c>
      <c r="N15" s="6" t="str">
        <f aca="false">IF(M15="","",COUNTIF($M$5:$M$39,"&gt;"&amp;M15)+COUNTIFS($M$5:$M$39,M15,$F$5:$F$39,"&gt;"&amp;N(F15))+1)</f>
        <v/>
      </c>
      <c r="O15" s="6" t="str">
        <f aca="false">IF(M15="","",IF(AND(M15&gt;=$L$2,N15&lt;=$J$2),"Recommend",IF(M15&gt;=$L$2,"Passed - over seat limit","Review / retake")))</f>
        <v/>
      </c>
      <c r="P15" s="7"/>
      <c r="Q15" s="7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6" t="str">
        <f aca="false">IF(AND(ISNUMBER(E16),ISNUMBER(F16)),F16-E16,"")</f>
        <v/>
      </c>
      <c r="H16" s="7"/>
      <c r="I16" s="7"/>
      <c r="J16" s="7"/>
      <c r="K16" s="7"/>
      <c r="L16" s="7"/>
      <c r="M16" s="8" t="str">
        <f aca="false">IF(COUNT(H16:L16)=0,"",SUM(H16:L16))</f>
        <v/>
      </c>
      <c r="N16" s="6" t="str">
        <f aca="false">IF(M16="","",COUNTIF($M$5:$M$39,"&gt;"&amp;M16)+COUNTIFS($M$5:$M$39,M16,$F$5:$F$39,"&gt;"&amp;N(F16))+1)</f>
        <v/>
      </c>
      <c r="O16" s="6" t="str">
        <f aca="false">IF(M16="","",IF(AND(M16&gt;=$L$2,N16&lt;=$J$2),"Recommend",IF(M16&gt;=$L$2,"Passed - over seat limit","Review / retake")))</f>
        <v/>
      </c>
      <c r="P16" s="7"/>
      <c r="Q16" s="7"/>
    </row>
    <row r="17" customFormat="false" ht="15" hidden="false" customHeight="false" outlineLevel="0" collapsed="false">
      <c r="A17" s="6" t="n">
        <v>13</v>
      </c>
      <c r="B17" s="7"/>
      <c r="C17" s="7"/>
      <c r="D17" s="7"/>
      <c r="E17" s="7"/>
      <c r="F17" s="7"/>
      <c r="G17" s="6" t="str">
        <f aca="false">IF(AND(ISNUMBER(E17),ISNUMBER(F17)),F17-E17,"")</f>
        <v/>
      </c>
      <c r="H17" s="7"/>
      <c r="I17" s="7"/>
      <c r="J17" s="7"/>
      <c r="K17" s="7"/>
      <c r="L17" s="7"/>
      <c r="M17" s="8" t="str">
        <f aca="false">IF(COUNT(H17:L17)=0,"",SUM(H17:L17))</f>
        <v/>
      </c>
      <c r="N17" s="6" t="str">
        <f aca="false">IF(M17="","",COUNTIF($M$5:$M$39,"&gt;"&amp;M17)+COUNTIFS($M$5:$M$39,M17,$F$5:$F$39,"&gt;"&amp;N(F17))+1)</f>
        <v/>
      </c>
      <c r="O17" s="6" t="str">
        <f aca="false">IF(M17="","",IF(AND(M17&gt;=$L$2,N17&lt;=$J$2),"Recommend",IF(M17&gt;=$L$2,"Passed - over seat limit","Review / retake")))</f>
        <v/>
      </c>
      <c r="P17" s="7"/>
      <c r="Q17" s="7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6" t="str">
        <f aca="false">IF(AND(ISNUMBER(E18),ISNUMBER(F18)),F18-E18,"")</f>
        <v/>
      </c>
      <c r="H18" s="7"/>
      <c r="I18" s="7"/>
      <c r="J18" s="7"/>
      <c r="K18" s="7"/>
      <c r="L18" s="7"/>
      <c r="M18" s="8" t="str">
        <f aca="false">IF(COUNT(H18:L18)=0,"",SUM(H18:L18))</f>
        <v/>
      </c>
      <c r="N18" s="6" t="str">
        <f aca="false">IF(M18="","",COUNTIF($M$5:$M$39,"&gt;"&amp;M18)+COUNTIFS($M$5:$M$39,M18,$F$5:$F$39,"&gt;"&amp;N(F18))+1)</f>
        <v/>
      </c>
      <c r="O18" s="6" t="str">
        <f aca="false">IF(M18="","",IF(AND(M18&gt;=$L$2,N18&lt;=$J$2),"Recommend",IF(M18&gt;=$L$2,"Passed - over seat limit","Review / retake")))</f>
        <v/>
      </c>
      <c r="P18" s="7"/>
      <c r="Q18" s="7"/>
    </row>
    <row r="19" customFormat="false" ht="15" hidden="false" customHeight="false" outlineLevel="0" collapsed="false">
      <c r="A19" s="6" t="n">
        <v>15</v>
      </c>
      <c r="B19" s="7"/>
      <c r="C19" s="7"/>
      <c r="D19" s="7"/>
      <c r="E19" s="7"/>
      <c r="F19" s="7"/>
      <c r="G19" s="6" t="str">
        <f aca="false">IF(AND(ISNUMBER(E19),ISNUMBER(F19)),F19-E19,"")</f>
        <v/>
      </c>
      <c r="H19" s="7"/>
      <c r="I19" s="7"/>
      <c r="J19" s="7"/>
      <c r="K19" s="7"/>
      <c r="L19" s="7"/>
      <c r="M19" s="8" t="str">
        <f aca="false">IF(COUNT(H19:L19)=0,"",SUM(H19:L19))</f>
        <v/>
      </c>
      <c r="N19" s="6" t="str">
        <f aca="false">IF(M19="","",COUNTIF($M$5:$M$39,"&gt;"&amp;M19)+COUNTIFS($M$5:$M$39,M19,$F$5:$F$39,"&gt;"&amp;N(F19))+1)</f>
        <v/>
      </c>
      <c r="O19" s="6" t="str">
        <f aca="false">IF(M19="","",IF(AND(M19&gt;=$L$2,N19&lt;=$J$2),"Recommend",IF(M19&gt;=$L$2,"Passed - over seat limit","Review / retake")))</f>
        <v/>
      </c>
      <c r="P19" s="7"/>
      <c r="Q19" s="7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6" t="str">
        <f aca="false">IF(AND(ISNUMBER(E20),ISNUMBER(F20)),F20-E20,"")</f>
        <v/>
      </c>
      <c r="H20" s="7"/>
      <c r="I20" s="7"/>
      <c r="J20" s="7"/>
      <c r="K20" s="7"/>
      <c r="L20" s="7"/>
      <c r="M20" s="8" t="str">
        <f aca="false">IF(COUNT(H20:L20)=0,"",SUM(H20:L20))</f>
        <v/>
      </c>
      <c r="N20" s="6" t="str">
        <f aca="false">IF(M20="","",COUNTIF($M$5:$M$39,"&gt;"&amp;M20)+COUNTIFS($M$5:$M$39,M20,$F$5:$F$39,"&gt;"&amp;N(F20))+1)</f>
        <v/>
      </c>
      <c r="O20" s="6" t="str">
        <f aca="false">IF(M20="","",IF(AND(M20&gt;=$L$2,N20&lt;=$J$2),"Recommend",IF(M20&gt;=$L$2,"Passed - over seat limit","Review / retake")))</f>
        <v/>
      </c>
      <c r="P20" s="7"/>
      <c r="Q20" s="7"/>
    </row>
    <row r="21" customFormat="false" ht="15" hidden="false" customHeight="false" outlineLevel="0" collapsed="false">
      <c r="A21" s="6" t="n">
        <v>17</v>
      </c>
      <c r="B21" s="7"/>
      <c r="C21" s="7"/>
      <c r="D21" s="7"/>
      <c r="E21" s="7"/>
      <c r="F21" s="7"/>
      <c r="G21" s="6" t="str">
        <f aca="false">IF(AND(ISNUMBER(E21),ISNUMBER(F21)),F21-E21,"")</f>
        <v/>
      </c>
      <c r="H21" s="7"/>
      <c r="I21" s="7"/>
      <c r="J21" s="7"/>
      <c r="K21" s="7"/>
      <c r="L21" s="7"/>
      <c r="M21" s="8" t="str">
        <f aca="false">IF(COUNT(H21:L21)=0,"",SUM(H21:L21))</f>
        <v/>
      </c>
      <c r="N21" s="6" t="str">
        <f aca="false">IF(M21="","",COUNTIF($M$5:$M$39,"&gt;"&amp;M21)+COUNTIFS($M$5:$M$39,M21,$F$5:$F$39,"&gt;"&amp;N(F21))+1)</f>
        <v/>
      </c>
      <c r="O21" s="6" t="str">
        <f aca="false">IF(M21="","",IF(AND(M21&gt;=$L$2,N21&lt;=$J$2),"Recommend",IF(M21&gt;=$L$2,"Passed - over seat limit","Review / retake")))</f>
        <v/>
      </c>
      <c r="P21" s="7"/>
      <c r="Q21" s="7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6" t="str">
        <f aca="false">IF(AND(ISNUMBER(E22),ISNUMBER(F22)),F22-E22,"")</f>
        <v/>
      </c>
      <c r="H22" s="7"/>
      <c r="I22" s="7"/>
      <c r="J22" s="7"/>
      <c r="K22" s="7"/>
      <c r="L22" s="7"/>
      <c r="M22" s="8" t="str">
        <f aca="false">IF(COUNT(H22:L22)=0,"",SUM(H22:L22))</f>
        <v/>
      </c>
      <c r="N22" s="6" t="str">
        <f aca="false">IF(M22="","",COUNTIF($M$5:$M$39,"&gt;"&amp;M22)+COUNTIFS($M$5:$M$39,M22,$F$5:$F$39,"&gt;"&amp;N(F22))+1)</f>
        <v/>
      </c>
      <c r="O22" s="6" t="str">
        <f aca="false">IF(M22="","",IF(AND(M22&gt;=$L$2,N22&lt;=$J$2),"Recommend",IF(M22&gt;=$L$2,"Passed - over seat limit","Review / retake")))</f>
        <v/>
      </c>
      <c r="P22" s="7"/>
      <c r="Q22" s="7"/>
    </row>
    <row r="23" customFormat="false" ht="15" hidden="false" customHeight="false" outlineLevel="0" collapsed="false">
      <c r="A23" s="6" t="n">
        <v>19</v>
      </c>
      <c r="B23" s="7"/>
      <c r="C23" s="7"/>
      <c r="D23" s="7"/>
      <c r="E23" s="7"/>
      <c r="F23" s="7"/>
      <c r="G23" s="6" t="str">
        <f aca="false">IF(AND(ISNUMBER(E23),ISNUMBER(F23)),F23-E23,"")</f>
        <v/>
      </c>
      <c r="H23" s="7"/>
      <c r="I23" s="7"/>
      <c r="J23" s="7"/>
      <c r="K23" s="7"/>
      <c r="L23" s="7"/>
      <c r="M23" s="8" t="str">
        <f aca="false">IF(COUNT(H23:L23)=0,"",SUM(H23:L23))</f>
        <v/>
      </c>
      <c r="N23" s="6" t="str">
        <f aca="false">IF(M23="","",COUNTIF($M$5:$M$39,"&gt;"&amp;M23)+COUNTIFS($M$5:$M$39,M23,$F$5:$F$39,"&gt;"&amp;N(F23))+1)</f>
        <v/>
      </c>
      <c r="O23" s="6" t="str">
        <f aca="false">IF(M23="","",IF(AND(M23&gt;=$L$2,N23&lt;=$J$2),"Recommend",IF(M23&gt;=$L$2,"Passed - over seat limit","Review / retake")))</f>
        <v/>
      </c>
      <c r="P23" s="7"/>
      <c r="Q23" s="7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6" t="str">
        <f aca="false">IF(AND(ISNUMBER(E24),ISNUMBER(F24)),F24-E24,"")</f>
        <v/>
      </c>
      <c r="H24" s="7"/>
      <c r="I24" s="7"/>
      <c r="J24" s="7"/>
      <c r="K24" s="7"/>
      <c r="L24" s="7"/>
      <c r="M24" s="8" t="str">
        <f aca="false">IF(COUNT(H24:L24)=0,"",SUM(H24:L24))</f>
        <v/>
      </c>
      <c r="N24" s="6" t="str">
        <f aca="false">IF(M24="","",COUNTIF($M$5:$M$39,"&gt;"&amp;M24)+COUNTIFS($M$5:$M$39,M24,$F$5:$F$39,"&gt;"&amp;N(F24))+1)</f>
        <v/>
      </c>
      <c r="O24" s="6" t="str">
        <f aca="false">IF(M24="","",IF(AND(M24&gt;=$L$2,N24&lt;=$J$2),"Recommend",IF(M24&gt;=$L$2,"Passed - over seat limit","Review / retake")))</f>
        <v/>
      </c>
      <c r="P24" s="7"/>
      <c r="Q24" s="7"/>
    </row>
    <row r="25" customFormat="false" ht="15" hidden="false" customHeight="false" outlineLevel="0" collapsed="false">
      <c r="A25" s="6" t="n">
        <v>21</v>
      </c>
      <c r="B25" s="7"/>
      <c r="C25" s="7"/>
      <c r="D25" s="7"/>
      <c r="E25" s="7"/>
      <c r="F25" s="7"/>
      <c r="G25" s="6" t="str">
        <f aca="false">IF(AND(ISNUMBER(E25),ISNUMBER(F25)),F25-E25,"")</f>
        <v/>
      </c>
      <c r="H25" s="7"/>
      <c r="I25" s="7"/>
      <c r="J25" s="7"/>
      <c r="K25" s="7"/>
      <c r="L25" s="7"/>
      <c r="M25" s="8" t="str">
        <f aca="false">IF(COUNT(H25:L25)=0,"",SUM(H25:L25))</f>
        <v/>
      </c>
      <c r="N25" s="6" t="str">
        <f aca="false">IF(M25="","",COUNTIF($M$5:$M$39,"&gt;"&amp;M25)+COUNTIFS($M$5:$M$39,M25,$F$5:$F$39,"&gt;"&amp;N(F25))+1)</f>
        <v/>
      </c>
      <c r="O25" s="6" t="str">
        <f aca="false">IF(M25="","",IF(AND(M25&gt;=$L$2,N25&lt;=$J$2),"Recommend",IF(M25&gt;=$L$2,"Passed - over seat limit","Review / retake")))</f>
        <v/>
      </c>
      <c r="P25" s="7"/>
      <c r="Q25" s="7"/>
    </row>
    <row r="26" customFormat="false" ht="15" hidden="false" customHeight="false" outlineLevel="0" collapsed="false">
      <c r="A26" s="6" t="n">
        <v>22</v>
      </c>
      <c r="B26" s="7"/>
      <c r="C26" s="7"/>
      <c r="D26" s="7"/>
      <c r="E26" s="7"/>
      <c r="F26" s="7"/>
      <c r="G26" s="6" t="str">
        <f aca="false">IF(AND(ISNUMBER(E26),ISNUMBER(F26)),F26-E26,"")</f>
        <v/>
      </c>
      <c r="H26" s="7"/>
      <c r="I26" s="7"/>
      <c r="J26" s="7"/>
      <c r="K26" s="7"/>
      <c r="L26" s="7"/>
      <c r="M26" s="8" t="str">
        <f aca="false">IF(COUNT(H26:L26)=0,"",SUM(H26:L26))</f>
        <v/>
      </c>
      <c r="N26" s="6" t="str">
        <f aca="false">IF(M26="","",COUNTIF($M$5:$M$39,"&gt;"&amp;M26)+COUNTIFS($M$5:$M$39,M26,$F$5:$F$39,"&gt;"&amp;N(F26))+1)</f>
        <v/>
      </c>
      <c r="O26" s="6" t="str">
        <f aca="false">IF(M26="","",IF(AND(M26&gt;=$L$2,N26&lt;=$J$2),"Recommend",IF(M26&gt;=$L$2,"Passed - over seat limit","Review / retake")))</f>
        <v/>
      </c>
      <c r="P26" s="7"/>
      <c r="Q26" s="7"/>
    </row>
    <row r="27" customFormat="false" ht="15" hidden="false" customHeight="false" outlineLevel="0" collapsed="false">
      <c r="A27" s="6" t="n">
        <v>23</v>
      </c>
      <c r="B27" s="7"/>
      <c r="C27" s="7"/>
      <c r="D27" s="7"/>
      <c r="E27" s="7"/>
      <c r="F27" s="7"/>
      <c r="G27" s="6" t="str">
        <f aca="false">IF(AND(ISNUMBER(E27),ISNUMBER(F27)),F27-E27,"")</f>
        <v/>
      </c>
      <c r="H27" s="7"/>
      <c r="I27" s="7"/>
      <c r="J27" s="7"/>
      <c r="K27" s="7"/>
      <c r="L27" s="7"/>
      <c r="M27" s="8" t="str">
        <f aca="false">IF(COUNT(H27:L27)=0,"",SUM(H27:L27))</f>
        <v/>
      </c>
      <c r="N27" s="6" t="str">
        <f aca="false">IF(M27="","",COUNTIF($M$5:$M$39,"&gt;"&amp;M27)+COUNTIFS($M$5:$M$39,M27,$F$5:$F$39,"&gt;"&amp;N(F27))+1)</f>
        <v/>
      </c>
      <c r="O27" s="6" t="str">
        <f aca="false">IF(M27="","",IF(AND(M27&gt;=$L$2,N27&lt;=$J$2),"Recommend",IF(M27&gt;=$L$2,"Passed - over seat limit","Review / retake")))</f>
        <v/>
      </c>
      <c r="P27" s="7"/>
      <c r="Q27" s="7"/>
    </row>
    <row r="28" customFormat="false" ht="15" hidden="false" customHeight="false" outlineLevel="0" collapsed="false">
      <c r="A28" s="6" t="n">
        <v>24</v>
      </c>
      <c r="B28" s="7"/>
      <c r="C28" s="7"/>
      <c r="D28" s="7"/>
      <c r="E28" s="7"/>
      <c r="F28" s="7"/>
      <c r="G28" s="6" t="str">
        <f aca="false">IF(AND(ISNUMBER(E28),ISNUMBER(F28)),F28-E28,"")</f>
        <v/>
      </c>
      <c r="H28" s="7"/>
      <c r="I28" s="7"/>
      <c r="J28" s="7"/>
      <c r="K28" s="7"/>
      <c r="L28" s="7"/>
      <c r="M28" s="8" t="str">
        <f aca="false">IF(COUNT(H28:L28)=0,"",SUM(H28:L28))</f>
        <v/>
      </c>
      <c r="N28" s="6" t="str">
        <f aca="false">IF(M28="","",COUNTIF($M$5:$M$39,"&gt;"&amp;M28)+COUNTIFS($M$5:$M$39,M28,$F$5:$F$39,"&gt;"&amp;N(F28))+1)</f>
        <v/>
      </c>
      <c r="O28" s="6" t="str">
        <f aca="false">IF(M28="","",IF(AND(M28&gt;=$L$2,N28&lt;=$J$2),"Recommend",IF(M28&gt;=$L$2,"Passed - over seat limit","Review / retake")))</f>
        <v/>
      </c>
      <c r="P28" s="7"/>
      <c r="Q28" s="7"/>
    </row>
    <row r="29" customFormat="false" ht="15" hidden="false" customHeight="false" outlineLevel="0" collapsed="false">
      <c r="A29" s="6" t="n">
        <v>25</v>
      </c>
      <c r="B29" s="7"/>
      <c r="C29" s="7"/>
      <c r="D29" s="7"/>
      <c r="E29" s="7"/>
      <c r="F29" s="7"/>
      <c r="G29" s="6" t="str">
        <f aca="false">IF(AND(ISNUMBER(E29),ISNUMBER(F29)),F29-E29,"")</f>
        <v/>
      </c>
      <c r="H29" s="7"/>
      <c r="I29" s="7"/>
      <c r="J29" s="7"/>
      <c r="K29" s="7"/>
      <c r="L29" s="7"/>
      <c r="M29" s="8" t="str">
        <f aca="false">IF(COUNT(H29:L29)=0,"",SUM(H29:L29))</f>
        <v/>
      </c>
      <c r="N29" s="6" t="str">
        <f aca="false">IF(M29="","",COUNTIF($M$5:$M$39,"&gt;"&amp;M29)+COUNTIFS($M$5:$M$39,M29,$F$5:$F$39,"&gt;"&amp;N(F29))+1)</f>
        <v/>
      </c>
      <c r="O29" s="6" t="str">
        <f aca="false">IF(M29="","",IF(AND(M29&gt;=$L$2,N29&lt;=$J$2),"Recommend",IF(M29&gt;=$L$2,"Passed - over seat limit","Review / retake")))</f>
        <v/>
      </c>
      <c r="P29" s="7"/>
      <c r="Q29" s="7"/>
    </row>
    <row r="30" customFormat="false" ht="15" hidden="false" customHeight="false" outlineLevel="0" collapsed="false">
      <c r="A30" s="6" t="n">
        <v>26</v>
      </c>
      <c r="B30" s="7"/>
      <c r="C30" s="7"/>
      <c r="D30" s="7"/>
      <c r="E30" s="7"/>
      <c r="F30" s="7"/>
      <c r="G30" s="6" t="str">
        <f aca="false">IF(AND(ISNUMBER(E30),ISNUMBER(F30)),F30-E30,"")</f>
        <v/>
      </c>
      <c r="H30" s="7"/>
      <c r="I30" s="7"/>
      <c r="J30" s="7"/>
      <c r="K30" s="7"/>
      <c r="L30" s="7"/>
      <c r="M30" s="8" t="str">
        <f aca="false">IF(COUNT(H30:L30)=0,"",SUM(H30:L30))</f>
        <v/>
      </c>
      <c r="N30" s="6" t="str">
        <f aca="false">IF(M30="","",COUNTIF($M$5:$M$39,"&gt;"&amp;M30)+COUNTIFS($M$5:$M$39,M30,$F$5:$F$39,"&gt;"&amp;N(F30))+1)</f>
        <v/>
      </c>
      <c r="O30" s="6" t="str">
        <f aca="false">IF(M30="","",IF(AND(M30&gt;=$L$2,N30&lt;=$J$2),"Recommend",IF(M30&gt;=$L$2,"Passed - over seat limit","Review / retake")))</f>
        <v/>
      </c>
      <c r="P30" s="7"/>
      <c r="Q30" s="7"/>
    </row>
    <row r="31" customFormat="false" ht="15" hidden="false" customHeight="false" outlineLevel="0" collapsed="false">
      <c r="A31" s="6" t="n">
        <v>27</v>
      </c>
      <c r="B31" s="7"/>
      <c r="C31" s="7"/>
      <c r="D31" s="7"/>
      <c r="E31" s="7"/>
      <c r="F31" s="7"/>
      <c r="G31" s="6" t="str">
        <f aca="false">IF(AND(ISNUMBER(E31),ISNUMBER(F31)),F31-E31,"")</f>
        <v/>
      </c>
      <c r="H31" s="7"/>
      <c r="I31" s="7"/>
      <c r="J31" s="7"/>
      <c r="K31" s="7"/>
      <c r="L31" s="7"/>
      <c r="M31" s="8" t="str">
        <f aca="false">IF(COUNT(H31:L31)=0,"",SUM(H31:L31))</f>
        <v/>
      </c>
      <c r="N31" s="6" t="str">
        <f aca="false">IF(M31="","",COUNTIF($M$5:$M$39,"&gt;"&amp;M31)+COUNTIFS($M$5:$M$39,M31,$F$5:$F$39,"&gt;"&amp;N(F31))+1)</f>
        <v/>
      </c>
      <c r="O31" s="6" t="str">
        <f aca="false">IF(M31="","",IF(AND(M31&gt;=$L$2,N31&lt;=$J$2),"Recommend",IF(M31&gt;=$L$2,"Passed - over seat limit","Review / retake")))</f>
        <v/>
      </c>
      <c r="P31" s="7"/>
      <c r="Q31" s="7"/>
    </row>
    <row r="32" customFormat="false" ht="15" hidden="false" customHeight="false" outlineLevel="0" collapsed="false">
      <c r="A32" s="6" t="n">
        <v>28</v>
      </c>
      <c r="B32" s="7"/>
      <c r="C32" s="7"/>
      <c r="D32" s="7"/>
      <c r="E32" s="7"/>
      <c r="F32" s="7"/>
      <c r="G32" s="6" t="str">
        <f aca="false">IF(AND(ISNUMBER(E32),ISNUMBER(F32)),F32-E32,"")</f>
        <v/>
      </c>
      <c r="H32" s="7"/>
      <c r="I32" s="7"/>
      <c r="J32" s="7"/>
      <c r="K32" s="7"/>
      <c r="L32" s="7"/>
      <c r="M32" s="8" t="str">
        <f aca="false">IF(COUNT(H32:L32)=0,"",SUM(H32:L32))</f>
        <v/>
      </c>
      <c r="N32" s="6" t="str">
        <f aca="false">IF(M32="","",COUNTIF($M$5:$M$39,"&gt;"&amp;M32)+COUNTIFS($M$5:$M$39,M32,$F$5:$F$39,"&gt;"&amp;N(F32))+1)</f>
        <v/>
      </c>
      <c r="O32" s="6" t="str">
        <f aca="false">IF(M32="","",IF(AND(M32&gt;=$L$2,N32&lt;=$J$2),"Recommend",IF(M32&gt;=$L$2,"Passed - over seat limit","Review / retake")))</f>
        <v/>
      </c>
      <c r="P32" s="7"/>
      <c r="Q32" s="7"/>
    </row>
    <row r="33" customFormat="false" ht="15" hidden="false" customHeight="false" outlineLevel="0" collapsed="false">
      <c r="A33" s="6" t="n">
        <v>29</v>
      </c>
      <c r="B33" s="7"/>
      <c r="C33" s="7"/>
      <c r="D33" s="7"/>
      <c r="E33" s="7"/>
      <c r="F33" s="7"/>
      <c r="G33" s="6" t="str">
        <f aca="false">IF(AND(ISNUMBER(E33),ISNUMBER(F33)),F33-E33,"")</f>
        <v/>
      </c>
      <c r="H33" s="7"/>
      <c r="I33" s="7"/>
      <c r="J33" s="7"/>
      <c r="K33" s="7"/>
      <c r="L33" s="7"/>
      <c r="M33" s="8" t="str">
        <f aca="false">IF(COUNT(H33:L33)=0,"",SUM(H33:L33))</f>
        <v/>
      </c>
      <c r="N33" s="6" t="str">
        <f aca="false">IF(M33="","",COUNTIF($M$5:$M$39,"&gt;"&amp;M33)+COUNTIFS($M$5:$M$39,M33,$F$5:$F$39,"&gt;"&amp;N(F33))+1)</f>
        <v/>
      </c>
      <c r="O33" s="6" t="str">
        <f aca="false">IF(M33="","",IF(AND(M33&gt;=$L$2,N33&lt;=$J$2),"Recommend",IF(M33&gt;=$L$2,"Passed - over seat limit","Review / retake")))</f>
        <v/>
      </c>
      <c r="P33" s="7"/>
      <c r="Q33" s="7"/>
    </row>
    <row r="34" customFormat="false" ht="15" hidden="false" customHeight="false" outlineLevel="0" collapsed="false">
      <c r="A34" s="6" t="n">
        <v>30</v>
      </c>
      <c r="B34" s="7"/>
      <c r="C34" s="7"/>
      <c r="D34" s="7"/>
      <c r="E34" s="7"/>
      <c r="F34" s="7"/>
      <c r="G34" s="6" t="str">
        <f aca="false">IF(AND(ISNUMBER(E34),ISNUMBER(F34)),F34-E34,"")</f>
        <v/>
      </c>
      <c r="H34" s="7"/>
      <c r="I34" s="7"/>
      <c r="J34" s="7"/>
      <c r="K34" s="7"/>
      <c r="L34" s="7"/>
      <c r="M34" s="8" t="str">
        <f aca="false">IF(COUNT(H34:L34)=0,"",SUM(H34:L34))</f>
        <v/>
      </c>
      <c r="N34" s="6" t="str">
        <f aca="false">IF(M34="","",COUNTIF($M$5:$M$39,"&gt;"&amp;M34)+COUNTIFS($M$5:$M$39,M34,$F$5:$F$39,"&gt;"&amp;N(F34))+1)</f>
        <v/>
      </c>
      <c r="O34" s="6" t="str">
        <f aca="false">IF(M34="","",IF(AND(M34&gt;=$L$2,N34&lt;=$J$2),"Recommend",IF(M34&gt;=$L$2,"Passed - over seat limit","Review / retake")))</f>
        <v/>
      </c>
      <c r="P34" s="7"/>
      <c r="Q34" s="7"/>
    </row>
    <row r="35" customFormat="false" ht="15" hidden="false" customHeight="false" outlineLevel="0" collapsed="false">
      <c r="A35" s="6" t="n">
        <v>31</v>
      </c>
      <c r="B35" s="7"/>
      <c r="C35" s="7"/>
      <c r="D35" s="7"/>
      <c r="E35" s="7"/>
      <c r="F35" s="7"/>
      <c r="G35" s="6" t="str">
        <f aca="false">IF(AND(ISNUMBER(E35),ISNUMBER(F35)),F35-E35,"")</f>
        <v/>
      </c>
      <c r="H35" s="7"/>
      <c r="I35" s="7"/>
      <c r="J35" s="7"/>
      <c r="K35" s="7"/>
      <c r="L35" s="7"/>
      <c r="M35" s="8" t="str">
        <f aca="false">IF(COUNT(H35:L35)=0,"",SUM(H35:L35))</f>
        <v/>
      </c>
      <c r="N35" s="6" t="str">
        <f aca="false">IF(M35="","",COUNTIF($M$5:$M$39,"&gt;"&amp;M35)+COUNTIFS($M$5:$M$39,M35,$F$5:$F$39,"&gt;"&amp;N(F35))+1)</f>
        <v/>
      </c>
      <c r="O35" s="6" t="str">
        <f aca="false">IF(M35="","",IF(AND(M35&gt;=$L$2,N35&lt;=$J$2),"Recommend",IF(M35&gt;=$L$2,"Passed - over seat limit","Review / retake")))</f>
        <v/>
      </c>
      <c r="P35" s="7"/>
      <c r="Q35" s="7"/>
    </row>
    <row r="36" customFormat="false" ht="15" hidden="false" customHeight="false" outlineLevel="0" collapsed="false">
      <c r="A36" s="6" t="n">
        <v>32</v>
      </c>
      <c r="B36" s="7"/>
      <c r="C36" s="7"/>
      <c r="D36" s="7"/>
      <c r="E36" s="7"/>
      <c r="F36" s="7"/>
      <c r="G36" s="6" t="str">
        <f aca="false">IF(AND(ISNUMBER(E36),ISNUMBER(F36)),F36-E36,"")</f>
        <v/>
      </c>
      <c r="H36" s="7"/>
      <c r="I36" s="7"/>
      <c r="J36" s="7"/>
      <c r="K36" s="7"/>
      <c r="L36" s="7"/>
      <c r="M36" s="8" t="str">
        <f aca="false">IF(COUNT(H36:L36)=0,"",SUM(H36:L36))</f>
        <v/>
      </c>
      <c r="N36" s="6" t="str">
        <f aca="false">IF(M36="","",COUNTIF($M$5:$M$39,"&gt;"&amp;M36)+COUNTIFS($M$5:$M$39,M36,$F$5:$F$39,"&gt;"&amp;N(F36))+1)</f>
        <v/>
      </c>
      <c r="O36" s="6" t="str">
        <f aca="false">IF(M36="","",IF(AND(M36&gt;=$L$2,N36&lt;=$J$2),"Recommend",IF(M36&gt;=$L$2,"Passed - over seat limit","Review / retake")))</f>
        <v/>
      </c>
      <c r="P36" s="7"/>
      <c r="Q36" s="7"/>
    </row>
    <row r="37" customFormat="false" ht="15" hidden="false" customHeight="false" outlineLevel="0" collapsed="false">
      <c r="A37" s="6" t="n">
        <v>33</v>
      </c>
      <c r="B37" s="7"/>
      <c r="C37" s="7"/>
      <c r="D37" s="7"/>
      <c r="E37" s="7"/>
      <c r="F37" s="7"/>
      <c r="G37" s="6" t="str">
        <f aca="false">IF(AND(ISNUMBER(E37),ISNUMBER(F37)),F37-E37,"")</f>
        <v/>
      </c>
      <c r="H37" s="7"/>
      <c r="I37" s="7"/>
      <c r="J37" s="7"/>
      <c r="K37" s="7"/>
      <c r="L37" s="7"/>
      <c r="M37" s="8" t="str">
        <f aca="false">IF(COUNT(H37:L37)=0,"",SUM(H37:L37))</f>
        <v/>
      </c>
      <c r="N37" s="6" t="str">
        <f aca="false">IF(M37="","",COUNTIF($M$5:$M$39,"&gt;"&amp;M37)+COUNTIFS($M$5:$M$39,M37,$F$5:$F$39,"&gt;"&amp;N(F37))+1)</f>
        <v/>
      </c>
      <c r="O37" s="6" t="str">
        <f aca="false">IF(M37="","",IF(AND(M37&gt;=$L$2,N37&lt;=$J$2),"Recommend",IF(M37&gt;=$L$2,"Passed - over seat limit","Review / retake")))</f>
        <v/>
      </c>
      <c r="P37" s="7"/>
      <c r="Q37" s="7"/>
    </row>
    <row r="38" customFormat="false" ht="15" hidden="false" customHeight="false" outlineLevel="0" collapsed="false">
      <c r="A38" s="6" t="n">
        <v>34</v>
      </c>
      <c r="B38" s="7"/>
      <c r="C38" s="7"/>
      <c r="D38" s="7"/>
      <c r="E38" s="7"/>
      <c r="F38" s="7"/>
      <c r="G38" s="6" t="str">
        <f aca="false">IF(AND(ISNUMBER(E38),ISNUMBER(F38)),F38-E38,"")</f>
        <v/>
      </c>
      <c r="H38" s="7"/>
      <c r="I38" s="7"/>
      <c r="J38" s="7"/>
      <c r="K38" s="7"/>
      <c r="L38" s="7"/>
      <c r="M38" s="8" t="str">
        <f aca="false">IF(COUNT(H38:L38)=0,"",SUM(H38:L38))</f>
        <v/>
      </c>
      <c r="N38" s="6" t="str">
        <f aca="false">IF(M38="","",COUNTIF($M$5:$M$39,"&gt;"&amp;M38)+COUNTIFS($M$5:$M$39,M38,$F$5:$F$39,"&gt;"&amp;N(F38))+1)</f>
        <v/>
      </c>
      <c r="O38" s="6" t="str">
        <f aca="false">IF(M38="","",IF(AND(M38&gt;=$L$2,N38&lt;=$J$2),"Recommend",IF(M38&gt;=$L$2,"Passed - over seat limit","Review / retake")))</f>
        <v/>
      </c>
      <c r="P38" s="7"/>
      <c r="Q38" s="7"/>
    </row>
    <row r="39" customFormat="false" ht="15" hidden="false" customHeight="false" outlineLevel="0" collapsed="false">
      <c r="A39" s="6" t="n">
        <v>35</v>
      </c>
      <c r="B39" s="7"/>
      <c r="C39" s="7"/>
      <c r="D39" s="7"/>
      <c r="E39" s="7"/>
      <c r="F39" s="7"/>
      <c r="G39" s="6" t="str">
        <f aca="false">IF(AND(ISNUMBER(E39),ISNUMBER(F39)),F39-E39,"")</f>
        <v/>
      </c>
      <c r="H39" s="7"/>
      <c r="I39" s="7"/>
      <c r="J39" s="7"/>
      <c r="K39" s="7"/>
      <c r="L39" s="7"/>
      <c r="M39" s="8" t="str">
        <f aca="false">IF(COUNT(H39:L39)=0,"",SUM(H39:L39))</f>
        <v/>
      </c>
      <c r="N39" s="6" t="str">
        <f aca="false">IF(M39="","",COUNTIF($M$5:$M$39,"&gt;"&amp;M39)+COUNTIFS($M$5:$M$39,M39,$F$5:$F$39,"&gt;"&amp;N(F39))+1)</f>
        <v/>
      </c>
      <c r="O39" s="6" t="str">
        <f aca="false">IF(M39="","",IF(AND(M39&gt;=$L$2,N39&lt;=$J$2),"Recommend",IF(M39&gt;=$L$2,"Passed - over seat limit","Review / retake")))</f>
        <v/>
      </c>
      <c r="P39" s="7"/>
      <c r="Q39" s="7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2"/>
      <c r="B41" s="8" t="s">
        <v>24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2"/>
      <c r="B42" s="6" t="s">
        <v>25</v>
      </c>
      <c r="C42" s="2"/>
      <c r="D42" s="8" t="n">
        <f aca="false">COUNT(M5:M39)</f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false" outlineLevel="0" collapsed="false">
      <c r="A43" s="2"/>
      <c r="B43" s="6" t="s">
        <v>26</v>
      </c>
      <c r="C43" s="2"/>
      <c r="D43" s="9" t="n">
        <f aca="false">IF(COUNT(M5:M39)=0,"",AVERAGE(M5:M39))</f>
        <v>82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false" outlineLevel="0" collapsed="false">
      <c r="A44" s="2"/>
      <c r="B44" s="6" t="s">
        <v>27</v>
      </c>
      <c r="C44" s="2"/>
      <c r="D44" s="9" t="n">
        <f aca="false">IF(COUNT(G5:G39)=0,"",AVERAGE(G5:G39))</f>
        <v>25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2"/>
      <c r="B45" s="6" t="s">
        <v>28</v>
      </c>
      <c r="C45" s="2"/>
      <c r="D45" s="8" t="n">
        <f aca="false">COUNTIF(O5:O39,"Recommend")</f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</sheetData>
  <conditionalFormatting sqref="O5:O39">
    <cfRule type="expression" priority="2" aboveAverage="0" equalAverage="0" bottom="0" percent="0" rank="0" text="" dxfId="0">
      <formula>$O5="Recommend"</formula>
    </cfRule>
    <cfRule type="expression" priority="3" aboveAverage="0" equalAverage="0" bottom="0" percent="0" rank="0" text="" dxfId="1">
      <formula>$O5="Review / retake"</formula>
    </cfRule>
  </conditionalFormatting>
  <dataValidations count="6">
    <dataValidation allowBlank="true" errorStyle="stop" operator="between" showDropDown="false" showErrorMessage="false" showInputMessage="false" sqref="D5:D39" type="list">
      <formula1>"A,B"</formula1>
      <formula2>0</formula2>
    </dataValidation>
    <dataValidation allowBlank="true" error="Score must be between 0 and 30" errorStyle="stop" operator="between" showDropDown="false" showErrorMessage="false" showInputMessage="false" sqref="H5:H39" type="decimal">
      <formula1>0</formula1>
      <formula2>30</formula2>
    </dataValidation>
    <dataValidation allowBlank="true" error="Score must be between 0 and 25" errorStyle="stop" operator="between" showDropDown="false" showErrorMessage="false" showInputMessage="false" sqref="I5:I39" type="decimal">
      <formula1>0</formula1>
      <formula2>25</formula2>
    </dataValidation>
    <dataValidation allowBlank="true" error="Score must be between 0 and 20" errorStyle="stop" operator="between" showDropDown="false" showErrorMessage="false" showInputMessage="false" sqref="J5:J39" type="decimal">
      <formula1>0</formula1>
      <formula2>20</formula2>
    </dataValidation>
    <dataValidation allowBlank="true" error="Score must be between 0 and 15" errorStyle="stop" operator="between" showDropDown="false" showErrorMessage="false" showInputMessage="false" sqref="K5:K39" type="decimal">
      <formula1>0</formula1>
      <formula2>15</formula2>
    </dataValidation>
    <dataValidation allowBlank="true" error="Score must be between 0 and 10" errorStyle="stop" operator="between" showDropDown="false" showErrorMessage="false" showInputMessage="false" sqref="L5:L39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</row>
    <row r="2" customFormat="false" ht="15" hidden="false" customHeight="false" outlineLevel="0" collapsed="false">
      <c r="A2" s="11" t="s">
        <v>34</v>
      </c>
      <c r="B2" s="11" t="n">
        <v>30</v>
      </c>
      <c r="C2" s="11" t="s">
        <v>35</v>
      </c>
      <c r="D2" s="11" t="s">
        <v>36</v>
      </c>
      <c r="E2" s="11" t="s">
        <v>37</v>
      </c>
    </row>
    <row r="3" customFormat="false" ht="26.85" hidden="false" customHeight="false" outlineLevel="0" collapsed="false">
      <c r="A3" s="11" t="s">
        <v>38</v>
      </c>
      <c r="B3" s="11" t="n">
        <v>25</v>
      </c>
      <c r="C3" s="11" t="s">
        <v>39</v>
      </c>
      <c r="D3" s="11" t="s">
        <v>40</v>
      </c>
      <c r="E3" s="11" t="s">
        <v>41</v>
      </c>
    </row>
    <row r="4" customFormat="false" ht="26.85" hidden="false" customHeight="false" outlineLevel="0" collapsed="false">
      <c r="A4" s="11" t="s">
        <v>42</v>
      </c>
      <c r="B4" s="11" t="n">
        <v>20</v>
      </c>
      <c r="C4" s="11" t="s">
        <v>43</v>
      </c>
      <c r="D4" s="11" t="s">
        <v>44</v>
      </c>
      <c r="E4" s="11" t="s">
        <v>45</v>
      </c>
    </row>
    <row r="5" customFormat="false" ht="15" hidden="false" customHeight="false" outlineLevel="0" collapsed="false">
      <c r="A5" s="11" t="s">
        <v>46</v>
      </c>
      <c r="B5" s="11" t="n">
        <v>15</v>
      </c>
      <c r="C5" s="11" t="s">
        <v>47</v>
      </c>
      <c r="D5" s="11" t="s">
        <v>48</v>
      </c>
      <c r="E5" s="11" t="s">
        <v>49</v>
      </c>
    </row>
    <row r="6" customFormat="false" ht="15" hidden="false" customHeight="false" outlineLevel="0" collapsed="false">
      <c r="A6" s="11" t="s">
        <v>50</v>
      </c>
      <c r="B6" s="11" t="n">
        <v>10</v>
      </c>
      <c r="C6" s="11" t="s">
        <v>51</v>
      </c>
      <c r="D6" s="11" t="s">
        <v>52</v>
      </c>
      <c r="E6" s="1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46"/>
  </cols>
  <sheetData>
    <row r="1" customFormat="false" ht="15" hidden="false" customHeight="false" outlineLevel="0" collapsed="false">
      <c r="A1" s="12" t="s">
        <v>54</v>
      </c>
      <c r="B1" s="12" t="s">
        <v>55</v>
      </c>
      <c r="C1" s="12" t="s">
        <v>56</v>
      </c>
    </row>
    <row r="2" customFormat="false" ht="15" hidden="false" customHeight="false" outlineLevel="0" collapsed="false">
      <c r="A2" s="6" t="s">
        <v>57</v>
      </c>
      <c r="B2" s="6" t="n">
        <v>25</v>
      </c>
      <c r="C2" s="6" t="n">
        <v>25</v>
      </c>
    </row>
    <row r="3" customFormat="false" ht="15" hidden="false" customHeight="false" outlineLevel="0" collapsed="false">
      <c r="A3" s="6" t="s">
        <v>58</v>
      </c>
      <c r="B3" s="6" t="n">
        <v>3</v>
      </c>
      <c r="C3" s="6" t="n">
        <v>3</v>
      </c>
    </row>
    <row r="4" customFormat="false" ht="15" hidden="false" customHeight="false" outlineLevel="0" collapsed="false">
      <c r="A4" s="6" t="s">
        <v>59</v>
      </c>
      <c r="B4" s="6" t="n">
        <v>22</v>
      </c>
      <c r="C4" s="6" t="n">
        <v>22</v>
      </c>
    </row>
    <row r="5" customFormat="false" ht="15" hidden="false" customHeight="false" outlineLevel="0" collapsed="false">
      <c r="A5" s="6" t="s">
        <v>60</v>
      </c>
      <c r="B5" s="6" t="s">
        <v>61</v>
      </c>
      <c r="C5" s="6" t="s">
        <v>62</v>
      </c>
    </row>
    <row r="6" customFormat="false" ht="15" hidden="false" customHeight="false" outlineLevel="0" collapsed="false">
      <c r="A6" s="6" t="s">
        <v>63</v>
      </c>
      <c r="B6" s="13" t="n">
        <v>3518155</v>
      </c>
      <c r="C6" s="13" t="n">
        <v>3479233</v>
      </c>
    </row>
    <row r="7" customFormat="false" ht="15" hidden="false" customHeight="false" outlineLevel="0" collapsed="false">
      <c r="A7" s="6" t="s">
        <v>64</v>
      </c>
      <c r="B7" s="13" t="n">
        <v>3935388</v>
      </c>
      <c r="C7" s="13" t="n">
        <v>3958051</v>
      </c>
    </row>
    <row r="8" customFormat="false" ht="15" hidden="false" customHeight="false" outlineLevel="0" collapsed="false">
      <c r="A8" s="6" t="s">
        <v>65</v>
      </c>
      <c r="B8" s="13" t="n">
        <v>62611</v>
      </c>
      <c r="C8" s="13" t="n">
        <v>68015</v>
      </c>
    </row>
    <row r="9" customFormat="false" ht="15" hidden="false" customHeight="false" outlineLevel="0" collapsed="false">
      <c r="A9" s="6" t="s">
        <v>66</v>
      </c>
      <c r="B9" s="14" t="n">
        <v>0.0181</v>
      </c>
      <c r="C9" s="14" t="n">
        <v>0.0199</v>
      </c>
    </row>
    <row r="10" customFormat="false" ht="15" hidden="false" customHeight="false" outlineLevel="0" collapsed="false">
      <c r="A10" s="6" t="s">
        <v>67</v>
      </c>
      <c r="B10" s="14" t="n">
        <v>0.533</v>
      </c>
      <c r="C10" s="14" t="n">
        <v>0.454</v>
      </c>
    </row>
    <row r="11" customFormat="false" ht="15" hidden="false" customHeight="false" outlineLevel="0" collapsed="false">
      <c r="A11" s="6" t="s">
        <v>68</v>
      </c>
      <c r="B11" s="14" t="n">
        <v>0.213</v>
      </c>
      <c r="C11" s="14" t="n">
        <v>0.232</v>
      </c>
    </row>
    <row r="12" customFormat="false" ht="15" hidden="false" customHeight="false" outlineLevel="0" collapsed="false">
      <c r="A12" s="6" t="s">
        <v>69</v>
      </c>
      <c r="B12" s="14" t="n">
        <v>0.194</v>
      </c>
      <c r="C12" s="14" t="n">
        <v>0.063</v>
      </c>
    </row>
    <row r="13" customFormat="false" ht="15" hidden="false" customHeight="false" outlineLevel="0" collapsed="false">
      <c r="A13" s="6" t="s">
        <v>70</v>
      </c>
      <c r="B13" s="14" t="n">
        <v>0.06</v>
      </c>
      <c r="C13" s="14" t="n">
        <v>0.251</v>
      </c>
    </row>
    <row r="14" customFormat="false" ht="15" hidden="false" customHeight="false" outlineLevel="0" collapsed="false">
      <c r="A14" s="6" t="s">
        <v>71</v>
      </c>
      <c r="B14" s="6" t="s">
        <v>72</v>
      </c>
      <c r="C14" s="6" t="s">
        <v>73</v>
      </c>
    </row>
    <row r="15" customFormat="false" ht="15" hidden="false" customHeight="false" outlineLevel="0" collapsed="false">
      <c r="A15" s="6" t="s">
        <v>74</v>
      </c>
      <c r="B15" s="6" t="s">
        <v>75</v>
      </c>
      <c r="C15" s="6" t="s">
        <v>76</v>
      </c>
    </row>
    <row r="16" customFormat="false" ht="15" hidden="false" customHeight="false" outlineLevel="0" collapsed="false">
      <c r="A16" s="6" t="s">
        <v>77</v>
      </c>
      <c r="B16" s="6" t="s">
        <v>78</v>
      </c>
      <c r="C16" s="6" t="s">
        <v>79</v>
      </c>
    </row>
    <row r="17" customFormat="false" ht="15" hidden="false" customHeight="false" outlineLevel="0" collapsed="false">
      <c r="A17" s="6" t="s">
        <v>80</v>
      </c>
      <c r="B17" s="6" t="s">
        <v>81</v>
      </c>
      <c r="C17" s="6" t="s">
        <v>82</v>
      </c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3" t="s">
        <v>83</v>
      </c>
      <c r="B19" s="2"/>
      <c r="C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2026-10-12T03:52:50Z</dcterms:created>
  <dc:creator>openpyxl</dc:creator>
  <dc:description/>
  <dc:language>en-US</dc:language>
  <cp:lastModifiedBy/>
  <dcterms:modified xsi:type="dcterms:W3CDTF">2026-10-12T03:52:50Z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